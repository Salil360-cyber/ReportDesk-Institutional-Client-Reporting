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Report" sheetId="2" state="visible" r:id="rId4"/>
    <sheet name="Report_Log" sheetId="3" state="visible" r:id="rId5"/>
    <sheet name="Settings" sheetId="4" state="visible" r:id="rId6"/>
    <sheet name="Data_Summary" sheetId="5" state="visible" r:id="rId7"/>
    <sheet name="Data_Allocation" sheetId="6" state="visible" r:id="rId8"/>
    <sheet name="Data_TopHoldings" sheetId="7" state="visible" r:id="rId9"/>
    <sheet name="Data_DQ" sheetId="8" state="visible" r:id="rId10"/>
  </sheets>
  <definedNames>
    <definedName function="false" hidden="false" localSheetId="1" name="_xlnm.Print_Area" vbProcedure="false">Report!$A$1:$G$37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<sst xmlns="http://schemas.openxmlformats.org/spreadsheetml/2006/main" count="276" uniqueCount="129">
  <si>
    <t xml:space="preserve">ReportDesk - Institutional Client Report Pack (September 2026)</t>
  </si>
  <si>
    <t xml:space="preserve">Synthetic data for a portfolio project. Clients, securities and values are invented. All values in USD.</t>
  </si>
  <si>
    <t xml:space="preserve">How it works</t>
  </si>
  <si>
    <t xml:space="preserve">1. SQL in PostgreSQL values every holding, runs 8 data-quality checks and calculates returns vs benchmark.</t>
  </si>
  <si>
    <t xml:space="preserve">2. Query results are exported to CSV and pasted into the grey Data_ sheets (keep the headers in row 1).</t>
  </si>
  <si>
    <t xml:space="preserve">3. The Report sheet builds one client's report. Change the client ID in Settings!B2 to switch client.</t>
  </si>
  <si>
    <t xml:space="preserve">4. The GenerateClientReports macro creates a PDF for every READY client and skips BLOCKED ones, logging each.</t>
  </si>
  <si>
    <t xml:space="preserve">Rule: a client with any BLOCKER in Data_DQ must not receive a report until the issue is fixed.</t>
  </si>
  <si>
    <t xml:space="preserve">Data_TopHoldings column G (Key) is a helper formula: extend it down if you paste more rows.</t>
  </si>
  <si>
    <t xml:space="preserve">Monthly Portfolio Report</t>
  </si>
  <si>
    <t xml:space="preserve">Client</t>
  </si>
  <si>
    <t xml:space="preserve">Client type</t>
  </si>
  <si>
    <t xml:space="preserve">Country</t>
  </si>
  <si>
    <t xml:space="preserve">Benchmark</t>
  </si>
  <si>
    <t xml:space="preserve">Portfolio value</t>
  </si>
  <si>
    <t xml:space="preserve">Performance (month)</t>
  </si>
  <si>
    <t xml:space="preserve">Opening value (31 Aug)</t>
  </si>
  <si>
    <t xml:space="preserve">Portfolio return</t>
  </si>
  <si>
    <t xml:space="preserve">Net contributions / (withdrawals)</t>
  </si>
  <si>
    <t xml:space="preserve">Benchmark return</t>
  </si>
  <si>
    <t xml:space="preserve">Investment gain / (loss)</t>
  </si>
  <si>
    <t xml:space="preserve">Relative (bps)</t>
  </si>
  <si>
    <t xml:space="preserve">Closing value (30 Sep)</t>
  </si>
  <si>
    <t xml:space="preserve">Check: opening + flows + gain - closing</t>
  </si>
  <si>
    <t xml:space="preserve">Asset allocation (30 Sep)</t>
  </si>
  <si>
    <t xml:space="preserve">Asset class</t>
  </si>
  <si>
    <t xml:space="preserve">Market value</t>
  </si>
  <si>
    <t xml:space="preserve">Weight</t>
  </si>
  <si>
    <t xml:space="preserve">Equity</t>
  </si>
  <si>
    <t xml:space="preserve">Fixed Income</t>
  </si>
  <si>
    <t xml:space="preserve">Cash</t>
  </si>
  <si>
    <t xml:space="preserve">Total</t>
  </si>
  <si>
    <t xml:space="preserve">Top 5 holdings (excluding cash)</t>
  </si>
  <si>
    <t xml:space="preserve">Security</t>
  </si>
  <si>
    <t xml:space="preserve">Data status</t>
  </si>
  <si>
    <t xml:space="preserve">Values use month-end prices. Return = simple Dietz: (closing - opening - net flows) / (opening + 0.5 x net flows). Past performance is not a guide to future returns.</t>
  </si>
  <si>
    <t xml:space="preserve">Generated At</t>
  </si>
  <si>
    <t xml:space="preserve">Client ID</t>
  </si>
  <si>
    <t xml:space="preserve">Client Name</t>
  </si>
  <si>
    <t xml:space="preserve">Data Status</t>
  </si>
  <si>
    <t xml:space="preserve">Result</t>
  </si>
  <si>
    <t xml:space="preserve">File</t>
  </si>
  <si>
    <t xml:space="preserve">Report month-end</t>
  </si>
  <si>
    <t xml:space="preserve">Reporting period end</t>
  </si>
  <si>
    <t xml:space="preserve">Selected client ID</t>
  </si>
  <si>
    <t xml:space="preserve">C01</t>
  </si>
  <si>
    <t xml:space="preserve">Type C01 to C06 to preview a client's report (the macro changes this automatically)</t>
  </si>
  <si>
    <t xml:space="preserve">client_id</t>
  </si>
  <si>
    <t xml:space="preserve">client_name</t>
  </si>
  <si>
    <t xml:space="preserve">client_type</t>
  </si>
  <si>
    <t xml:space="preserve">country</t>
  </si>
  <si>
    <t xml:space="preserve">benchmark_name</t>
  </si>
  <si>
    <t xml:space="preserve">bmv</t>
  </si>
  <si>
    <t xml:space="preserve">emv</t>
  </si>
  <si>
    <t xml:space="preserve">net_flows</t>
  </si>
  <si>
    <t xml:space="preserve">investment_gain</t>
  </si>
  <si>
    <t xml:space="preserve">portfolio_return</t>
  </si>
  <si>
    <t xml:space="preserve">benchmark_return</t>
  </si>
  <si>
    <t xml:space="preserve">excess_bps</t>
  </si>
  <si>
    <t xml:space="preserve">report_status</t>
  </si>
  <si>
    <t xml:space="preserve">Kingsbridge Pension Scheme</t>
  </si>
  <si>
    <t xml:space="preserve">Pension Fund</t>
  </si>
  <si>
    <t xml:space="preserve">United Kingdom</t>
  </si>
  <si>
    <t xml:space="preserve">60/40 Global Balanced Index</t>
  </si>
  <si>
    <t xml:space="preserve">READY - CHECK WARNINGS</t>
  </si>
  <si>
    <t xml:space="preserve">C02</t>
  </si>
  <si>
    <t xml:space="preserve">Rheinfeld Insurance AG</t>
  </si>
  <si>
    <t xml:space="preserve">Insurance</t>
  </si>
  <si>
    <t xml:space="preserve">Germany</t>
  </si>
  <si>
    <t xml:space="preserve">Global Aggregate Bond Index</t>
  </si>
  <si>
    <t xml:space="preserve">C03</t>
  </si>
  <si>
    <t xml:space="preserve">Amsterhaven Foundation</t>
  </si>
  <si>
    <t xml:space="preserve">Foundation</t>
  </si>
  <si>
    <t xml:space="preserve">Netherlands</t>
  </si>
  <si>
    <t xml:space="preserve">Global Equity Index</t>
  </si>
  <si>
    <t xml:space="preserve">C04</t>
  </si>
  <si>
    <t xml:space="preserve">Al Noor Reserve Fund</t>
  </si>
  <si>
    <t xml:space="preserve">Sovereign Wealth Fund</t>
  </si>
  <si>
    <t xml:space="preserve">United Arab Emirates</t>
  </si>
  <si>
    <t xml:space="preserve">BLOCKED</t>
  </si>
  <si>
    <t xml:space="preserve">C05</t>
  </si>
  <si>
    <t xml:space="preserve">Table Bay Retirement Fund</t>
  </si>
  <si>
    <t xml:space="preserve">South Africa</t>
  </si>
  <si>
    <t xml:space="preserve">C06</t>
  </si>
  <si>
    <t xml:space="preserve">Fjordline Mutual Pension</t>
  </si>
  <si>
    <t xml:space="preserve">Sweden</t>
  </si>
  <si>
    <t xml:space="preserve">asset_class</t>
  </si>
  <si>
    <t xml:space="preserve">market_value</t>
  </si>
  <si>
    <t xml:space="preserve">weight</t>
  </si>
  <si>
    <t xml:space="preserve">rank_no</t>
  </si>
  <si>
    <t xml:space="preserve">security_name</t>
  </si>
  <si>
    <t xml:space="preserve">key</t>
  </si>
  <si>
    <t xml:space="preserve">Cedar Rail Holdings</t>
  </si>
  <si>
    <t xml:space="preserve">Lumen Consumer Brands</t>
  </si>
  <si>
    <t xml:space="preserve">UK Gilt 4.00% 2030</t>
  </si>
  <si>
    <t xml:space="preserve">Orchid Pharmaceuticals</t>
  </si>
  <si>
    <t xml:space="preserve">Atlas Mining 6.00% 2030</t>
  </si>
  <si>
    <t xml:space="preserve">Harbourline Bank 5.10% 2029</t>
  </si>
  <si>
    <t xml:space="preserve">German Bund 2.50% 2033</t>
  </si>
  <si>
    <t xml:space="preserve">Japan JGB 1.10% 2034</t>
  </si>
  <si>
    <t xml:space="preserve">Northwind Technologies</t>
  </si>
  <si>
    <t xml:space="preserve">Atlas Mining Corp</t>
  </si>
  <si>
    <t xml:space="preserve">Polar Logistics</t>
  </si>
  <si>
    <t xml:space="preserve">US Treasury 4.25% 2031</t>
  </si>
  <si>
    <t xml:space="preserve">Riverstone Insurance</t>
  </si>
  <si>
    <t xml:space="preserve">Harbourline Bank</t>
  </si>
  <si>
    <t xml:space="preserve">Northwind Tech 4.60% 2032</t>
  </si>
  <si>
    <t xml:space="preserve">Monsoon Digital</t>
  </si>
  <si>
    <t xml:space="preserve">check_name</t>
  </si>
  <si>
    <t xml:space="preserve">severity</t>
  </si>
  <si>
    <t xml:space="preserve">security_id</t>
  </si>
  <si>
    <t xml:space="preserve">detail</t>
  </si>
  <si>
    <t xml:space="preserve">Missing month-end price</t>
  </si>
  <si>
    <t xml:space="preserve">BLOCKER</t>
  </si>
  <si>
    <t xml:space="preserve">EQ002</t>
  </si>
  <si>
    <t xml:space="preserve">No price on 2026-09-30</t>
  </si>
  <si>
    <t xml:space="preserve">Cash does not reconcile</t>
  </si>
  <si>
    <t xml:space="preserve">CASH_USD</t>
  </si>
  <si>
    <t xml:space="preserve">Difference -1250000.00</t>
  </si>
  <si>
    <t xml:space="preserve">Duplicate holding row</t>
  </si>
  <si>
    <t xml:space="preserve">EQ003</t>
  </si>
  <si>
    <t xml:space="preserve">2 rows</t>
  </si>
  <si>
    <t xml:space="preserve">Price move over 25%</t>
  </si>
  <si>
    <t xml:space="preserve">WARNING</t>
  </si>
  <si>
    <t xml:space="preserve">EQ004</t>
  </si>
  <si>
    <t xml:space="preserve">Move 38.0%</t>
  </si>
  <si>
    <t xml:space="preserve">Stale price (unchanged)</t>
  </si>
  <si>
    <t xml:space="preserve">FI001</t>
  </si>
  <si>
    <t xml:space="preserve">Price 98.5310 same as last month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</si>
</sst>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0%;\-0.00%;0.00%"/>
    <numFmt numFmtId="167" formatCode="0.0;\-0.0;0.0"/>
    <numFmt numFmtId="168" formatCode="0.0%"/>
    <numFmt numFmtId="169" formatCode="dd\-mmm\-yyyy"/>
    <numFmt numFmtId="170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3F8"/>
        <bgColor rgb="FFFFFFFF"/>
      </patternFill>
    </fill>
    <fill>
      <patternFill patternType="solid">
        <fgColor rgb="FFFFF2CC"/>
        <bgColor rgb="FFEEF3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EEF3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A6A6A6"/>
      <rgbColor rgb="FF1F3A5F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Report!$B$18:$B$20</c:f>
              <c:strCache>
                <c:ptCount val="3"/>
                <c:pt idx="0">
                  <c:v>Equity</c:v>
                </c:pt>
                <c:pt idx="1">
                  <c:v>Fixed Income</c:v>
                </c:pt>
                <c:pt idx="2">
                  <c:v>Cash</c:v>
                </c:pt>
              </c:strCache>
            </c:strRef>
          </c:cat>
          <c:val>
            <c:numRef>
              <c:f>Report!$C$18:$C$20</c:f>
              <c:numCache>
                <c:formatCode>#,##0;\(#,##0\);\-</c:formatCode>
                <c:ptCount val="3"/>
                <c:pt idx="0">
                  <c:v>121359120</c:v>
                </c:pt>
                <c:pt idx="1">
                  <c:v>47074518</c:v>
                </c:pt>
                <c:pt idx="2">
                  <c:v>7570000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0</xdr:rowOff>
    </xdr:from>
    <xdr:to>
      <xdr:col>7</xdr:col>
      <xdr:colOff>342360</xdr:colOff>
      <xdr:row>25</xdr:row>
      <xdr:rowOff>2520</xdr:rowOff>
    </xdr:to>
    <xdr:graphicFrame>
      <xdr:nvGraphicFramePr>
        <xdr:cNvPr id="0" name="Chart 1"/>
        <xdr:cNvGraphicFramePr/>
      </xdr:nvGraphicFramePr>
      <xdr:xfrm>
        <a:off x="4793040" y="3095640"/>
        <a:ext cx="2879640" cy="19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7" min="6" style="0" width="18"/>
  </cols>
  <sheetData>
    <row r="1" customFormat="false" ht="33.75" hidden="false" customHeight="true" outlineLevel="0" collapsed="false">
      <c r="B1" s="4" t="s">
        <v>9</v>
      </c>
      <c r="C1" s="4"/>
      <c r="D1" s="4"/>
      <c r="E1" s="4"/>
      <c r="F1" s="4"/>
      <c r="G1" s="4"/>
    </row>
    <row r="2" customFormat="false" ht="15" hidden="false" customHeight="false" outlineLevel="0" collapsed="false">
      <c r="B2" s="5" t="str">
        <f aca="false">"Period ending "&amp;TEXT(Settings!B1,"dd mmmm yyyy")&amp;"   |   All values in USD"</f>
        <v>Period ending 30 September 2026   |   All values in USD</v>
      </c>
    </row>
    <row r="4" customFormat="false" ht="15" hidden="false" customHeight="false" outlineLevel="0" collapsed="false">
      <c r="B4" s="3" t="s">
        <v>10</v>
      </c>
      <c r="C4" s="6" t="str">
        <f aca="false">INDEX(Data_Summary!$B:$B,MATCH(Settings!$B$2,Data_Summary!$A:$A,0))</f>
        <v>Kingsbridge Pension Scheme</v>
      </c>
      <c r="D4" s="6"/>
      <c r="E4" s="6"/>
      <c r="F4" s="6"/>
      <c r="G4" s="6"/>
    </row>
    <row r="5" customFormat="false" ht="15" hidden="false" customHeight="false" outlineLevel="0" collapsed="false">
      <c r="B5" s="3" t="s">
        <v>11</v>
      </c>
      <c r="C5" s="6" t="str">
        <f aca="false">INDEX(Data_Summary!$C:$C,MATCH(Settings!$B$2,Data_Summary!$A:$A,0))</f>
        <v>Pension Fund</v>
      </c>
      <c r="D5" s="6"/>
      <c r="E5" s="6"/>
      <c r="F5" s="6"/>
      <c r="G5" s="6"/>
    </row>
    <row r="6" customFormat="false" ht="15" hidden="false" customHeight="false" outlineLevel="0" collapsed="false">
      <c r="B6" s="3" t="s">
        <v>12</v>
      </c>
      <c r="C6" s="6" t="str">
        <f aca="false">INDEX(Data_Summary!$D:$D,MATCH(Settings!$B$2,Data_Summary!$A:$A,0))</f>
        <v>United Kingdom</v>
      </c>
      <c r="D6" s="6"/>
      <c r="E6" s="6"/>
      <c r="F6" s="6"/>
      <c r="G6" s="6"/>
    </row>
    <row r="7" customFormat="false" ht="15" hidden="false" customHeight="false" outlineLevel="0" collapsed="false">
      <c r="B7" s="3" t="s">
        <v>13</v>
      </c>
      <c r="C7" s="6" t="str">
        <f aca="false">INDEX(Data_Summary!$E:$E,MATCH(Settings!$B$2,Data_Summary!$A:$A,0))</f>
        <v>60/40 Global Balanced Index</v>
      </c>
      <c r="D7" s="6"/>
      <c r="E7" s="6"/>
      <c r="F7" s="6"/>
      <c r="G7" s="6"/>
    </row>
    <row r="9" customFormat="false" ht="15" hidden="false" customHeight="false" outlineLevel="0" collapsed="false">
      <c r="B9" s="7" t="s">
        <v>14</v>
      </c>
      <c r="C9" s="8"/>
      <c r="D9" s="8"/>
      <c r="F9" s="7" t="s">
        <v>15</v>
      </c>
      <c r="G9" s="8"/>
    </row>
    <row r="10" customFormat="false" ht="15" hidden="false" customHeight="false" outlineLevel="0" collapsed="false">
      <c r="B10" s="9" t="s">
        <v>16</v>
      </c>
      <c r="C10" s="10" t="n">
        <f aca="false">INDEX(Data_Summary!$F:$F,MATCH(Settings!$B$2,Data_Summary!$A:$A,0))</f>
        <v>172783514</v>
      </c>
      <c r="F10" s="9" t="s">
        <v>17</v>
      </c>
      <c r="G10" s="11" t="n">
        <f aca="false">INDEX(Data_Summary!$J:$J,MATCH(Settings!$B$2,Data_Summary!$A:$A,0))</f>
        <v>0.001837</v>
      </c>
    </row>
    <row r="11" customFormat="false" ht="15" hidden="false" customHeight="false" outlineLevel="0" collapsed="false">
      <c r="B11" s="9" t="s">
        <v>18</v>
      </c>
      <c r="C11" s="10" t="n">
        <f aca="false">INDEX(Data_Summary!$H:$H,MATCH(Settings!$B$2,Data_Summary!$A:$A,0))</f>
        <v>2900000</v>
      </c>
      <c r="F11" s="9" t="s">
        <v>19</v>
      </c>
      <c r="G11" s="11" t="n">
        <f aca="false">INDEX(Data_Summary!$K:$K,MATCH(Settings!$B$2,Data_Summary!$A:$A,0))</f>
        <v>0.0094</v>
      </c>
    </row>
    <row r="12" customFormat="false" ht="15" hidden="false" customHeight="false" outlineLevel="0" collapsed="false">
      <c r="B12" s="9" t="s">
        <v>20</v>
      </c>
      <c r="C12" s="10" t="n">
        <f aca="false">INDEX(Data_Summary!$I:$I,MATCH(Settings!$B$2,Data_Summary!$A:$A,0))</f>
        <v>320124</v>
      </c>
      <c r="F12" s="9" t="s">
        <v>21</v>
      </c>
      <c r="G12" s="12" t="n">
        <f aca="false">INDEX(Data_Summary!$L:$L,MATCH(Settings!$B$2,Data_Summary!$A:$A,0))</f>
        <v>-75.6</v>
      </c>
    </row>
    <row r="13" customFormat="false" ht="15" hidden="false" customHeight="false" outlineLevel="0" collapsed="false">
      <c r="B13" s="13" t="s">
        <v>22</v>
      </c>
      <c r="C13" s="14" t="n">
        <f aca="false">INDEX(Data_Summary!$G:$G,MATCH(Settings!$B$2,Data_Summary!$A:$A,0))</f>
        <v>176003638</v>
      </c>
    </row>
    <row r="14" customFormat="false" ht="15" hidden="false" customHeight="false" outlineLevel="0" collapsed="false">
      <c r="B14" s="15" t="s">
        <v>23</v>
      </c>
      <c r="C14" s="16" t="n">
        <f aca="false">C10+C11+C12-C13</f>
        <v>0</v>
      </c>
    </row>
    <row r="16" customFormat="false" ht="15" hidden="false" customHeight="false" outlineLevel="0" collapsed="false">
      <c r="B16" s="7" t="s">
        <v>24</v>
      </c>
      <c r="C16" s="8"/>
      <c r="D16" s="8"/>
    </row>
    <row r="17" customFormat="false" ht="15" hidden="false" customHeight="false" outlineLevel="0" collapsed="false">
      <c r="B17" s="17" t="s">
        <v>25</v>
      </c>
      <c r="C17" s="17" t="s">
        <v>26</v>
      </c>
      <c r="D17" s="17" t="s">
        <v>27</v>
      </c>
    </row>
    <row r="18" customFormat="false" ht="15" hidden="false" customHeight="false" outlineLevel="0" collapsed="false">
      <c r="B18" s="9" t="s">
        <v>28</v>
      </c>
      <c r="C18" s="10" t="n">
        <f aca="false">SUMIFS(Data_Allocation!$C:$C,Data_Allocation!$A:$A,Settings!$B$2,Data_Allocation!$B:$B,B18)</f>
        <v>121359120</v>
      </c>
      <c r="D18" s="18" t="n">
        <f aca="false">SUMIFS(Data_Allocation!$D:$D,Data_Allocation!$A:$A,Settings!$B$2,Data_Allocation!$B:$B,B18)</f>
        <v>0.689526</v>
      </c>
    </row>
    <row r="19" customFormat="false" ht="15" hidden="false" customHeight="false" outlineLevel="0" collapsed="false">
      <c r="B19" s="9" t="s">
        <v>29</v>
      </c>
      <c r="C19" s="10" t="n">
        <f aca="false">SUMIFS(Data_Allocation!$C:$C,Data_Allocation!$A:$A,Settings!$B$2,Data_Allocation!$B:$B,B19)</f>
        <v>47074518</v>
      </c>
      <c r="D19" s="18" t="n">
        <f aca="false">SUMIFS(Data_Allocation!$D:$D,Data_Allocation!$A:$A,Settings!$B$2,Data_Allocation!$B:$B,B19)</f>
        <v>0.267463</v>
      </c>
    </row>
    <row r="20" customFormat="false" ht="15" hidden="false" customHeight="false" outlineLevel="0" collapsed="false">
      <c r="B20" s="9" t="s">
        <v>30</v>
      </c>
      <c r="C20" s="10" t="n">
        <f aca="false">SUMIFS(Data_Allocation!$C:$C,Data_Allocation!$A:$A,Settings!$B$2,Data_Allocation!$B:$B,B20)</f>
        <v>7570000</v>
      </c>
      <c r="D20" s="18" t="n">
        <f aca="false">SUMIFS(Data_Allocation!$D:$D,Data_Allocation!$A:$A,Settings!$B$2,Data_Allocation!$B:$B,B20)</f>
        <v>0.04301</v>
      </c>
    </row>
    <row r="21" customFormat="false" ht="15" hidden="false" customHeight="false" outlineLevel="0" collapsed="false">
      <c r="B21" s="13" t="s">
        <v>31</v>
      </c>
      <c r="C21" s="14" t="n">
        <f aca="false">SUM(C18:C20)</f>
        <v>176003638</v>
      </c>
      <c r="D21" s="19" t="n">
        <f aca="false">SUM(D18:D20)</f>
        <v>0.999999</v>
      </c>
    </row>
    <row r="27" customFormat="false" ht="15" hidden="false" customHeight="false" outlineLevel="0" collapsed="false">
      <c r="B27" s="7" t="s">
        <v>32</v>
      </c>
      <c r="C27" s="8"/>
      <c r="D27" s="8"/>
      <c r="E27" s="8"/>
      <c r="F27" s="8"/>
      <c r="G27" s="8"/>
    </row>
    <row r="28" customFormat="false" ht="15" hidden="false" customHeight="false" outlineLevel="0" collapsed="false">
      <c r="B28" s="17" t="s">
        <v>33</v>
      </c>
      <c r="C28" s="17" t="s">
        <v>25</v>
      </c>
      <c r="D28" s="17" t="s">
        <v>27</v>
      </c>
      <c r="F28" s="17" t="s">
        <v>26</v>
      </c>
    </row>
    <row r="29" customFormat="false" ht="15" hidden="false" customHeight="false" outlineLevel="0" collapsed="false">
      <c r="B29" s="9" t="str">
        <f aca="false">IFERROR(INDEX(Data_TopHoldings!$C:$C,MATCH(Settings!$B$2&amp;"-"&amp;1,Data_TopHoldings!$G:$G,0)),"")</f>
        <v>Cedar Rail Holdings</v>
      </c>
      <c r="C29" s="9" t="str">
        <f aca="false">IFERROR(INDEX(Data_TopHoldings!$D:$D,MATCH(Settings!$B$2&amp;"-"&amp;1,Data_TopHoldings!$G:$G,0)),"")</f>
        <v>Equity</v>
      </c>
      <c r="D29" s="18" t="n">
        <f aca="false">IFERROR(INDEX(Data_TopHoldings!$F:$F,MATCH(Settings!$B$2&amp;"-"&amp;1,Data_TopHoldings!$G:$G,0)),"")</f>
        <v>0.279992</v>
      </c>
      <c r="F29" s="10" t="n">
        <f aca="false">IFERROR(INDEX(Data_TopHoldings!$E:$E,MATCH(Settings!$B$2&amp;"-"&amp;1,Data_TopHoldings!$G:$G,0)),"")</f>
        <v>49279560</v>
      </c>
    </row>
    <row r="30" customFormat="false" ht="15" hidden="false" customHeight="false" outlineLevel="0" collapsed="false">
      <c r="B30" s="9" t="str">
        <f aca="false">IFERROR(INDEX(Data_TopHoldings!$C:$C,MATCH(Settings!$B$2&amp;"-"&amp;2,Data_TopHoldings!$G:$G,0)),"")</f>
        <v>Lumen Consumer Brands</v>
      </c>
      <c r="C30" s="9" t="str">
        <f aca="false">IFERROR(INDEX(Data_TopHoldings!$D:$D,MATCH(Settings!$B$2&amp;"-"&amp;2,Data_TopHoldings!$G:$G,0)),"")</f>
        <v>Equity</v>
      </c>
      <c r="D30" s="18" t="n">
        <f aca="false">IFERROR(INDEX(Data_TopHoldings!$F:$F,MATCH(Settings!$B$2&amp;"-"&amp;2,Data_TopHoldings!$G:$G,0)),"")</f>
        <v>0.1427</v>
      </c>
      <c r="F30" s="10" t="n">
        <f aca="false">IFERROR(INDEX(Data_TopHoldings!$E:$E,MATCH(Settings!$B$2&amp;"-"&amp;2,Data_TopHoldings!$G:$G,0)),"")</f>
        <v>25115670</v>
      </c>
    </row>
    <row r="31" customFormat="false" ht="15" hidden="false" customHeight="false" outlineLevel="0" collapsed="false">
      <c r="B31" s="9" t="str">
        <f aca="false">IFERROR(INDEX(Data_TopHoldings!$C:$C,MATCH(Settings!$B$2&amp;"-"&amp;3,Data_TopHoldings!$G:$G,0)),"")</f>
        <v>UK Gilt 4.00% 2030</v>
      </c>
      <c r="C31" s="9" t="str">
        <f aca="false">IFERROR(INDEX(Data_TopHoldings!$D:$D,MATCH(Settings!$B$2&amp;"-"&amp;3,Data_TopHoldings!$G:$G,0)),"")</f>
        <v>Fixed Income</v>
      </c>
      <c r="D31" s="18" t="n">
        <f aca="false">IFERROR(INDEX(Data_TopHoldings!$F:$F,MATCH(Settings!$B$2&amp;"-"&amp;3,Data_TopHoldings!$G:$G,0)),"")</f>
        <v>0.100462</v>
      </c>
      <c r="F31" s="10" t="n">
        <f aca="false">IFERROR(INDEX(Data_TopHoldings!$E:$E,MATCH(Settings!$B$2&amp;"-"&amp;3,Data_TopHoldings!$G:$G,0)),"")</f>
        <v>17681718</v>
      </c>
    </row>
    <row r="32" customFormat="false" ht="15" hidden="false" customHeight="false" outlineLevel="0" collapsed="false">
      <c r="B32" s="9" t="str">
        <f aca="false">IFERROR(INDEX(Data_TopHoldings!$C:$C,MATCH(Settings!$B$2&amp;"-"&amp;4,Data_TopHoldings!$G:$G,0)),"")</f>
        <v>Orchid Pharmaceuticals</v>
      </c>
      <c r="C32" s="9" t="str">
        <f aca="false">IFERROR(INDEX(Data_TopHoldings!$D:$D,MATCH(Settings!$B$2&amp;"-"&amp;4,Data_TopHoldings!$G:$G,0)),"")</f>
        <v>Equity</v>
      </c>
      <c r="D32" s="18" t="n">
        <f aca="false">IFERROR(INDEX(Data_TopHoldings!$F:$F,MATCH(Settings!$B$2&amp;"-"&amp;4,Data_TopHoldings!$G:$G,0)),"")</f>
        <v>0.087157</v>
      </c>
      <c r="F32" s="10" t="n">
        <f aca="false">IFERROR(INDEX(Data_TopHoldings!$E:$E,MATCH(Settings!$B$2&amp;"-"&amp;4,Data_TopHoldings!$G:$G,0)),"")</f>
        <v>15339955</v>
      </c>
    </row>
    <row r="33" customFormat="false" ht="15" hidden="false" customHeight="false" outlineLevel="0" collapsed="false">
      <c r="B33" s="9" t="str">
        <f aca="false">IFERROR(INDEX(Data_TopHoldings!$C:$C,MATCH(Settings!$B$2&amp;"-"&amp;5,Data_TopHoldings!$G:$G,0)),"")</f>
        <v>Atlas Mining 6.00% 2030</v>
      </c>
      <c r="C33" s="9" t="str">
        <f aca="false">IFERROR(INDEX(Data_TopHoldings!$D:$D,MATCH(Settings!$B$2&amp;"-"&amp;5,Data_TopHoldings!$G:$G,0)),"")</f>
        <v>Fixed Income</v>
      </c>
      <c r="D33" s="18" t="n">
        <f aca="false">IFERROR(INDEX(Data_TopHoldings!$F:$F,MATCH(Settings!$B$2&amp;"-"&amp;5,Data_TopHoldings!$G:$G,0)),"")</f>
        <v>0.074486</v>
      </c>
      <c r="F33" s="10" t="n">
        <f aca="false">IFERROR(INDEX(Data_TopHoldings!$E:$E,MATCH(Settings!$B$2&amp;"-"&amp;5,Data_TopHoldings!$G:$G,0)),"")</f>
        <v>13109825</v>
      </c>
    </row>
    <row r="35" customFormat="false" ht="15" hidden="false" customHeight="false" outlineLevel="0" collapsed="false">
      <c r="B35" s="3" t="s">
        <v>34</v>
      </c>
      <c r="C35" s="20" t="str">
        <f aca="false">INDEX(Data_Summary!$M:$M,MATCH(Settings!$B$2,Data_Summary!$A:$A,0))</f>
        <v>READY - CHECK WARNINGS</v>
      </c>
      <c r="D35" s="20"/>
      <c r="E35" s="20"/>
      <c r="F35" s="20"/>
      <c r="G35" s="20"/>
    </row>
    <row r="36" customFormat="false" ht="21.75" hidden="false" customHeight="true" outlineLevel="0" collapsed="false">
      <c r="B36" s="21" t="s">
        <v>35</v>
      </c>
      <c r="C36" s="21"/>
      <c r="D36" s="21"/>
      <c r="E36" s="21"/>
      <c r="F36" s="21"/>
      <c r="G36" s="21"/>
    </row>
    <row r="37" customFormat="false" ht="15" hidden="false" customHeight="false" outlineLevel="0" collapsed="false">
      <c r="B37" s="21"/>
      <c r="C37" s="21"/>
      <c r="D37" s="21"/>
      <c r="E37" s="21"/>
      <c r="F37" s="21"/>
      <c r="G37" s="21"/>
    </row>
  </sheetData>
  <mergeCells count="7">
    <mergeCell ref="B1:G1"/>
    <mergeCell ref="C4:G4"/>
    <mergeCell ref="C5:G5"/>
    <mergeCell ref="C6:G6"/>
    <mergeCell ref="C7:G7"/>
    <mergeCell ref="C35:G35"/>
    <mergeCell ref="B36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7" t="s">
        <v>36</v>
      </c>
      <c r="B1" s="7" t="s">
        <v>37</v>
      </c>
      <c r="C1" s="7" t="s">
        <v>38</v>
      </c>
      <c r="D1" s="7" t="s">
        <v>39</v>
      </c>
      <c r="E1" s="7" t="s">
        <v>40</v>
      </c>
      <c r="F1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42</v>
      </c>
      <c r="B1" s="22" t="n">
        <v>46295</v>
      </c>
      <c r="C1" s="5" t="s">
        <v>43</v>
      </c>
    </row>
    <row r="2" customFormat="false" ht="15" hidden="false" customHeight="false" outlineLevel="0" collapsed="false">
      <c r="A2" s="3" t="s">
        <v>44</v>
      </c>
      <c r="B2" s="23" t="s">
        <v>45</v>
      </c>
      <c r="C2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0"/>
    <col collapsed="false" customWidth="true" hidden="false" outlineLevel="0" max="5" min="5" style="0" width="28"/>
    <col collapsed="false" customWidth="true" hidden="false" outlineLevel="0" max="7" min="6" style="0" width="1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8"/>
    <col collapsed="false" customWidth="true" hidden="false" outlineLevel="0" max="12" min="12" style="0" width="12"/>
    <col collapsed="false" customWidth="true" hidden="false" outlineLevel="0" max="13" min="13" style="0" width="24"/>
  </cols>
  <sheetData>
    <row r="1" customFormat="false" ht="15" hidden="false" customHeight="false" outlineLevel="0" collapsed="false">
      <c r="A1" s="7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</row>
    <row r="2" customFormat="false" ht="15" hidden="false" customHeight="false" outlineLevel="0" collapsed="false">
      <c r="A2" s="2" t="s">
        <v>45</v>
      </c>
      <c r="B2" s="2" t="s">
        <v>60</v>
      </c>
      <c r="C2" s="2" t="s">
        <v>61</v>
      </c>
      <c r="D2" s="2" t="s">
        <v>62</v>
      </c>
      <c r="E2" s="2" t="s">
        <v>63</v>
      </c>
      <c r="F2" s="24" t="n">
        <v>172783514</v>
      </c>
      <c r="G2" s="24" t="n">
        <v>176003638</v>
      </c>
      <c r="H2" s="24" t="n">
        <v>2900000</v>
      </c>
      <c r="I2" s="24" t="n">
        <v>320124</v>
      </c>
      <c r="J2" s="25" t="n">
        <v>0.001837</v>
      </c>
      <c r="K2" s="25" t="n">
        <v>0.0094</v>
      </c>
      <c r="L2" s="2" t="n">
        <v>-75.6</v>
      </c>
      <c r="M2" s="2" t="s">
        <v>64</v>
      </c>
    </row>
    <row r="3" customFormat="false" ht="15" hidden="false" customHeight="false" outlineLevel="0" collapsed="false">
      <c r="A3" s="2" t="s">
        <v>65</v>
      </c>
      <c r="B3" s="2" t="s">
        <v>66</v>
      </c>
      <c r="C3" s="2" t="s">
        <v>67</v>
      </c>
      <c r="D3" s="2" t="s">
        <v>68</v>
      </c>
      <c r="E3" s="2" t="s">
        <v>69</v>
      </c>
      <c r="F3" s="24" t="n">
        <v>190224832</v>
      </c>
      <c r="G3" s="24" t="n">
        <v>189754489</v>
      </c>
      <c r="H3" s="24" t="n">
        <v>-800000</v>
      </c>
      <c r="I3" s="24" t="n">
        <v>329657</v>
      </c>
      <c r="J3" s="25" t="n">
        <v>0.001737</v>
      </c>
      <c r="K3" s="25" t="n">
        <v>-0.0042</v>
      </c>
      <c r="L3" s="2" t="n">
        <v>59.4</v>
      </c>
      <c r="M3" s="2" t="s">
        <v>64</v>
      </c>
    </row>
    <row r="4" customFormat="false" ht="15" hidden="false" customHeight="false" outlineLevel="0" collapsed="false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4" t="n">
        <v>274733417</v>
      </c>
      <c r="G4" s="24" t="n">
        <v>273920432</v>
      </c>
      <c r="H4" s="24" t="n">
        <v>0</v>
      </c>
      <c r="I4" s="24" t="n">
        <v>-812985</v>
      </c>
      <c r="J4" s="25" t="n">
        <v>-0.002959</v>
      </c>
      <c r="K4" s="25" t="n">
        <v>0.0185</v>
      </c>
      <c r="L4" s="2" t="n">
        <v>-214.6</v>
      </c>
      <c r="M4" s="2" t="s">
        <v>64</v>
      </c>
    </row>
    <row r="5" customFormat="false" ht="15" hidden="false" customHeight="false" outlineLevel="0" collapsed="false">
      <c r="A5" s="2" t="s">
        <v>75</v>
      </c>
      <c r="B5" s="2" t="s">
        <v>76</v>
      </c>
      <c r="C5" s="2" t="s">
        <v>77</v>
      </c>
      <c r="D5" s="2" t="s">
        <v>78</v>
      </c>
      <c r="E5" s="2" t="s">
        <v>63</v>
      </c>
      <c r="F5" s="24" t="n">
        <v>272801857</v>
      </c>
      <c r="G5" s="24" t="n">
        <v>219684436</v>
      </c>
      <c r="H5" s="24" t="n">
        <v>-2550000</v>
      </c>
      <c r="I5" s="24" t="n">
        <v>-50567421</v>
      </c>
      <c r="J5" s="25" t="n">
        <v>-0.186234</v>
      </c>
      <c r="K5" s="25" t="n">
        <v>0.0094</v>
      </c>
      <c r="L5" s="2" t="n">
        <v>-1956.3</v>
      </c>
      <c r="M5" s="2" t="s">
        <v>79</v>
      </c>
    </row>
    <row r="6" customFormat="false" ht="15" hidden="false" customHeight="false" outlineLevel="0" collapsed="false">
      <c r="A6" s="2" t="s">
        <v>80</v>
      </c>
      <c r="B6" s="2" t="s">
        <v>81</v>
      </c>
      <c r="C6" s="2" t="s">
        <v>61</v>
      </c>
      <c r="D6" s="2" t="s">
        <v>82</v>
      </c>
      <c r="E6" s="2" t="s">
        <v>74</v>
      </c>
      <c r="F6" s="24" t="n">
        <v>265133992</v>
      </c>
      <c r="G6" s="24" t="n">
        <v>263222259</v>
      </c>
      <c r="H6" s="24" t="n">
        <v>400000</v>
      </c>
      <c r="I6" s="24" t="n">
        <v>-2311733</v>
      </c>
      <c r="J6" s="25" t="n">
        <v>-0.008713</v>
      </c>
      <c r="K6" s="25" t="n">
        <v>0.0185</v>
      </c>
      <c r="L6" s="2" t="n">
        <v>-272.1</v>
      </c>
      <c r="M6" s="2" t="s">
        <v>79</v>
      </c>
    </row>
    <row r="7" customFormat="false" ht="15" hidden="false" customHeight="false" outlineLevel="0" collapsed="false">
      <c r="A7" s="2" t="s">
        <v>83</v>
      </c>
      <c r="B7" s="2" t="s">
        <v>84</v>
      </c>
      <c r="C7" s="2" t="s">
        <v>61</v>
      </c>
      <c r="D7" s="2" t="s">
        <v>85</v>
      </c>
      <c r="E7" s="2" t="s">
        <v>63</v>
      </c>
      <c r="F7" s="24" t="n">
        <v>302759239</v>
      </c>
      <c r="G7" s="24" t="n">
        <v>310421063</v>
      </c>
      <c r="H7" s="24" t="n">
        <v>-1450000</v>
      </c>
      <c r="I7" s="24" t="n">
        <v>9111824</v>
      </c>
      <c r="J7" s="25" t="n">
        <v>0.030168</v>
      </c>
      <c r="K7" s="25" t="n">
        <v>0.0094</v>
      </c>
      <c r="L7" s="2" t="n">
        <v>207.7</v>
      </c>
      <c r="M7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7" t="s">
        <v>47</v>
      </c>
      <c r="B1" s="7" t="s">
        <v>86</v>
      </c>
      <c r="C1" s="7" t="s">
        <v>87</v>
      </c>
      <c r="D1" s="7" t="s">
        <v>88</v>
      </c>
    </row>
    <row r="2" customFormat="false" ht="15" hidden="false" customHeight="false" outlineLevel="0" collapsed="false">
      <c r="A2" s="2" t="s">
        <v>45</v>
      </c>
      <c r="B2" s="2" t="s">
        <v>30</v>
      </c>
      <c r="C2" s="24" t="n">
        <v>7570000</v>
      </c>
      <c r="D2" s="25" t="n">
        <v>0.04301</v>
      </c>
    </row>
    <row r="3" customFormat="false" ht="15" hidden="false" customHeight="false" outlineLevel="0" collapsed="false">
      <c r="A3" s="2" t="s">
        <v>45</v>
      </c>
      <c r="B3" s="2" t="s">
        <v>28</v>
      </c>
      <c r="C3" s="24" t="n">
        <v>121359120</v>
      </c>
      <c r="D3" s="25" t="n">
        <v>0.689526</v>
      </c>
    </row>
    <row r="4" customFormat="false" ht="15" hidden="false" customHeight="false" outlineLevel="0" collapsed="false">
      <c r="A4" s="2" t="s">
        <v>45</v>
      </c>
      <c r="B4" s="2" t="s">
        <v>29</v>
      </c>
      <c r="C4" s="24" t="n">
        <v>47074518</v>
      </c>
      <c r="D4" s="25" t="n">
        <v>0.267463</v>
      </c>
    </row>
    <row r="5" customFormat="false" ht="15" hidden="false" customHeight="false" outlineLevel="0" collapsed="false">
      <c r="A5" s="2" t="s">
        <v>65</v>
      </c>
      <c r="B5" s="2" t="s">
        <v>30</v>
      </c>
      <c r="C5" s="24" t="n">
        <v>1970000</v>
      </c>
      <c r="D5" s="25" t="n">
        <v>0.010382</v>
      </c>
    </row>
    <row r="6" customFormat="false" ht="15" hidden="false" customHeight="false" outlineLevel="0" collapsed="false">
      <c r="A6" s="2" t="s">
        <v>65</v>
      </c>
      <c r="B6" s="2" t="s">
        <v>28</v>
      </c>
      <c r="C6" s="24" t="n">
        <v>28978920</v>
      </c>
      <c r="D6" s="25" t="n">
        <v>0.152718</v>
      </c>
    </row>
    <row r="7" customFormat="false" ht="15" hidden="false" customHeight="false" outlineLevel="0" collapsed="false">
      <c r="A7" s="2" t="s">
        <v>65</v>
      </c>
      <c r="B7" s="2" t="s">
        <v>29</v>
      </c>
      <c r="C7" s="24" t="n">
        <v>158805569</v>
      </c>
      <c r="D7" s="25" t="n">
        <v>0.8369</v>
      </c>
    </row>
    <row r="8" customFormat="false" ht="15" hidden="false" customHeight="false" outlineLevel="0" collapsed="false">
      <c r="A8" s="2" t="s">
        <v>70</v>
      </c>
      <c r="B8" s="2" t="s">
        <v>30</v>
      </c>
      <c r="C8" s="24" t="n">
        <v>3510000</v>
      </c>
      <c r="D8" s="25" t="n">
        <v>0.012814</v>
      </c>
    </row>
    <row r="9" customFormat="false" ht="15" hidden="false" customHeight="false" outlineLevel="0" collapsed="false">
      <c r="A9" s="2" t="s">
        <v>70</v>
      </c>
      <c r="B9" s="2" t="s">
        <v>28</v>
      </c>
      <c r="C9" s="24" t="n">
        <v>248043895</v>
      </c>
      <c r="D9" s="25" t="n">
        <v>0.905533</v>
      </c>
    </row>
    <row r="10" customFormat="false" ht="15" hidden="false" customHeight="false" outlineLevel="0" collapsed="false">
      <c r="A10" s="2" t="s">
        <v>70</v>
      </c>
      <c r="B10" s="2" t="s">
        <v>29</v>
      </c>
      <c r="C10" s="24" t="n">
        <v>22366537</v>
      </c>
      <c r="D10" s="25" t="n">
        <v>0.081653</v>
      </c>
    </row>
    <row r="11" customFormat="false" ht="15" hidden="false" customHeight="false" outlineLevel="0" collapsed="false">
      <c r="A11" s="2" t="s">
        <v>75</v>
      </c>
      <c r="B11" s="2" t="s">
        <v>30</v>
      </c>
      <c r="C11" s="24" t="n">
        <v>2320000</v>
      </c>
      <c r="D11" s="25" t="n">
        <v>0.010561</v>
      </c>
    </row>
    <row r="12" customFormat="false" ht="15" hidden="false" customHeight="false" outlineLevel="0" collapsed="false">
      <c r="A12" s="2" t="s">
        <v>75</v>
      </c>
      <c r="B12" s="2" t="s">
        <v>28</v>
      </c>
      <c r="C12" s="24" t="n">
        <v>145314025</v>
      </c>
      <c r="D12" s="25" t="n">
        <v>0.661467</v>
      </c>
    </row>
    <row r="13" customFormat="false" ht="15" hidden="false" customHeight="false" outlineLevel="0" collapsed="false">
      <c r="A13" s="2" t="s">
        <v>75</v>
      </c>
      <c r="B13" s="2" t="s">
        <v>29</v>
      </c>
      <c r="C13" s="24" t="n">
        <v>72050411</v>
      </c>
      <c r="D13" s="25" t="n">
        <v>0.327972</v>
      </c>
    </row>
    <row r="14" customFormat="false" ht="15" hidden="false" customHeight="false" outlineLevel="0" collapsed="false">
      <c r="A14" s="2" t="s">
        <v>80</v>
      </c>
      <c r="B14" s="2" t="s">
        <v>30</v>
      </c>
      <c r="C14" s="24" t="n">
        <v>3220000</v>
      </c>
      <c r="D14" s="25" t="n">
        <v>0.012233</v>
      </c>
    </row>
    <row r="15" customFormat="false" ht="15" hidden="false" customHeight="false" outlineLevel="0" collapsed="false">
      <c r="A15" s="2" t="s">
        <v>80</v>
      </c>
      <c r="B15" s="2" t="s">
        <v>28</v>
      </c>
      <c r="C15" s="24" t="n">
        <v>237377265</v>
      </c>
      <c r="D15" s="25" t="n">
        <v>0.901813</v>
      </c>
    </row>
    <row r="16" customFormat="false" ht="15" hidden="false" customHeight="false" outlineLevel="0" collapsed="false">
      <c r="A16" s="2" t="s">
        <v>80</v>
      </c>
      <c r="B16" s="2" t="s">
        <v>29</v>
      </c>
      <c r="C16" s="24" t="n">
        <v>22624994</v>
      </c>
      <c r="D16" s="25" t="n">
        <v>0.085954</v>
      </c>
    </row>
    <row r="17" customFormat="false" ht="15" hidden="false" customHeight="false" outlineLevel="0" collapsed="false">
      <c r="A17" s="2" t="s">
        <v>83</v>
      </c>
      <c r="B17" s="2" t="s">
        <v>30</v>
      </c>
      <c r="C17" s="24" t="n">
        <v>1700000</v>
      </c>
      <c r="D17" s="25" t="n">
        <v>0.005476</v>
      </c>
    </row>
    <row r="18" customFormat="false" ht="15" hidden="false" customHeight="false" outlineLevel="0" collapsed="false">
      <c r="A18" s="2" t="s">
        <v>83</v>
      </c>
      <c r="B18" s="2" t="s">
        <v>28</v>
      </c>
      <c r="C18" s="24" t="n">
        <v>197139070</v>
      </c>
      <c r="D18" s="25" t="n">
        <v>0.63507</v>
      </c>
    </row>
    <row r="19" customFormat="false" ht="15" hidden="false" customHeight="false" outlineLevel="0" collapsed="false">
      <c r="A19" s="2" t="s">
        <v>83</v>
      </c>
      <c r="B19" s="2" t="s">
        <v>29</v>
      </c>
      <c r="C19" s="24" t="n">
        <v>111581993</v>
      </c>
      <c r="D19" s="25" t="n">
        <v>0.359454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7" t="s">
        <v>47</v>
      </c>
      <c r="B1" s="7" t="s">
        <v>89</v>
      </c>
      <c r="C1" s="7" t="s">
        <v>90</v>
      </c>
      <c r="D1" s="7" t="s">
        <v>86</v>
      </c>
      <c r="E1" s="7" t="s">
        <v>87</v>
      </c>
      <c r="F1" s="7" t="s">
        <v>88</v>
      </c>
      <c r="G1" s="7" t="s">
        <v>91</v>
      </c>
    </row>
    <row r="2" customFormat="false" ht="15" hidden="false" customHeight="false" outlineLevel="0" collapsed="false">
      <c r="A2" s="2" t="s">
        <v>45</v>
      </c>
      <c r="B2" s="2" t="n">
        <v>1</v>
      </c>
      <c r="C2" s="2" t="s">
        <v>92</v>
      </c>
      <c r="D2" s="2" t="s">
        <v>28</v>
      </c>
      <c r="E2" s="24" t="n">
        <v>49279560</v>
      </c>
      <c r="F2" s="25" t="n">
        <v>0.279992</v>
      </c>
      <c r="G2" s="2" t="str">
        <f aca="false">A2&amp;"-"&amp;B2</f>
        <v>C01-1</v>
      </c>
    </row>
    <row r="3" customFormat="false" ht="15" hidden="false" customHeight="false" outlineLevel="0" collapsed="false">
      <c r="A3" s="2" t="s">
        <v>45</v>
      </c>
      <c r="B3" s="2" t="n">
        <v>2</v>
      </c>
      <c r="C3" s="2" t="s">
        <v>93</v>
      </c>
      <c r="D3" s="2" t="s">
        <v>28</v>
      </c>
      <c r="E3" s="24" t="n">
        <v>25115670</v>
      </c>
      <c r="F3" s="25" t="n">
        <v>0.1427</v>
      </c>
      <c r="G3" s="2" t="str">
        <f aca="false">A3&amp;"-"&amp;B3</f>
        <v>C01-2</v>
      </c>
    </row>
    <row r="4" customFormat="false" ht="15" hidden="false" customHeight="false" outlineLevel="0" collapsed="false">
      <c r="A4" s="2" t="s">
        <v>45</v>
      </c>
      <c r="B4" s="2" t="n">
        <v>3</v>
      </c>
      <c r="C4" s="2" t="s">
        <v>94</v>
      </c>
      <c r="D4" s="2" t="s">
        <v>29</v>
      </c>
      <c r="E4" s="24" t="n">
        <v>17681718</v>
      </c>
      <c r="F4" s="25" t="n">
        <v>0.100462</v>
      </c>
      <c r="G4" s="2" t="str">
        <f aca="false">A4&amp;"-"&amp;B4</f>
        <v>C01-3</v>
      </c>
    </row>
    <row r="5" customFormat="false" ht="15" hidden="false" customHeight="false" outlineLevel="0" collapsed="false">
      <c r="A5" s="2" t="s">
        <v>45</v>
      </c>
      <c r="B5" s="2" t="n">
        <v>4</v>
      </c>
      <c r="C5" s="2" t="s">
        <v>95</v>
      </c>
      <c r="D5" s="2" t="s">
        <v>28</v>
      </c>
      <c r="E5" s="24" t="n">
        <v>15339955</v>
      </c>
      <c r="F5" s="25" t="n">
        <v>0.087157</v>
      </c>
      <c r="G5" s="2" t="str">
        <f aca="false">A5&amp;"-"&amp;B5</f>
        <v>C01-4</v>
      </c>
    </row>
    <row r="6" customFormat="false" ht="15" hidden="false" customHeight="false" outlineLevel="0" collapsed="false">
      <c r="A6" s="2" t="s">
        <v>45</v>
      </c>
      <c r="B6" s="2" t="n">
        <v>5</v>
      </c>
      <c r="C6" s="2" t="s">
        <v>96</v>
      </c>
      <c r="D6" s="2" t="s">
        <v>29</v>
      </c>
      <c r="E6" s="24" t="n">
        <v>13109825</v>
      </c>
      <c r="F6" s="25" t="n">
        <v>0.074486</v>
      </c>
      <c r="G6" s="2" t="str">
        <f aca="false">A6&amp;"-"&amp;B6</f>
        <v>C01-5</v>
      </c>
    </row>
    <row r="7" customFormat="false" ht="15" hidden="false" customHeight="false" outlineLevel="0" collapsed="false">
      <c r="A7" s="2" t="s">
        <v>65</v>
      </c>
      <c r="B7" s="2" t="n">
        <v>1</v>
      </c>
      <c r="C7" s="2" t="s">
        <v>97</v>
      </c>
      <c r="D7" s="2" t="s">
        <v>29</v>
      </c>
      <c r="E7" s="24" t="n">
        <v>39680592</v>
      </c>
      <c r="F7" s="25" t="n">
        <v>0.209115</v>
      </c>
      <c r="G7" s="2" t="str">
        <f aca="false">A7&amp;"-"&amp;B7</f>
        <v>C02-1</v>
      </c>
    </row>
    <row r="8" customFormat="false" ht="15" hidden="false" customHeight="false" outlineLevel="0" collapsed="false">
      <c r="A8" s="2" t="s">
        <v>65</v>
      </c>
      <c r="B8" s="2" t="n">
        <v>2</v>
      </c>
      <c r="C8" s="2" t="s">
        <v>98</v>
      </c>
      <c r="D8" s="2" t="s">
        <v>29</v>
      </c>
      <c r="E8" s="24" t="n">
        <v>36003960</v>
      </c>
      <c r="F8" s="25" t="n">
        <v>0.18974</v>
      </c>
      <c r="G8" s="2" t="str">
        <f aca="false">A8&amp;"-"&amp;B8</f>
        <v>C02-2</v>
      </c>
    </row>
    <row r="9" customFormat="false" ht="15" hidden="false" customHeight="false" outlineLevel="0" collapsed="false">
      <c r="A9" s="2" t="s">
        <v>65</v>
      </c>
      <c r="B9" s="2" t="n">
        <v>3</v>
      </c>
      <c r="C9" s="2" t="s">
        <v>99</v>
      </c>
      <c r="D9" s="2" t="s">
        <v>29</v>
      </c>
      <c r="E9" s="24" t="n">
        <v>22466620</v>
      </c>
      <c r="F9" s="25" t="n">
        <v>0.118398</v>
      </c>
      <c r="G9" s="2" t="str">
        <f aca="false">A9&amp;"-"&amp;B9</f>
        <v>C02-3</v>
      </c>
    </row>
    <row r="10" customFormat="false" ht="15" hidden="false" customHeight="false" outlineLevel="0" collapsed="false">
      <c r="A10" s="2" t="s">
        <v>65</v>
      </c>
      <c r="B10" s="2" t="n">
        <v>4</v>
      </c>
      <c r="C10" s="2" t="s">
        <v>94</v>
      </c>
      <c r="D10" s="2" t="s">
        <v>29</v>
      </c>
      <c r="E10" s="24" t="n">
        <v>21674364</v>
      </c>
      <c r="F10" s="25" t="n">
        <v>0.114223</v>
      </c>
      <c r="G10" s="2" t="str">
        <f aca="false">A10&amp;"-"&amp;B10</f>
        <v>C02-4</v>
      </c>
    </row>
    <row r="11" customFormat="false" ht="15" hidden="false" customHeight="false" outlineLevel="0" collapsed="false">
      <c r="A11" s="2" t="s">
        <v>65</v>
      </c>
      <c r="B11" s="2" t="n">
        <v>5</v>
      </c>
      <c r="C11" s="2" t="s">
        <v>100</v>
      </c>
      <c r="D11" s="2" t="s">
        <v>28</v>
      </c>
      <c r="E11" s="24" t="n">
        <v>16464420</v>
      </c>
      <c r="F11" s="25" t="n">
        <v>0.086767</v>
      </c>
      <c r="G11" s="2" t="str">
        <f aca="false">A11&amp;"-"&amp;B11</f>
        <v>C02-5</v>
      </c>
    </row>
    <row r="12" customFormat="false" ht="15" hidden="false" customHeight="false" outlineLevel="0" collapsed="false">
      <c r="A12" s="2" t="s">
        <v>70</v>
      </c>
      <c r="B12" s="2" t="n">
        <v>1</v>
      </c>
      <c r="C12" s="2" t="s">
        <v>101</v>
      </c>
      <c r="D12" s="2" t="s">
        <v>28</v>
      </c>
      <c r="E12" s="24" t="n">
        <v>82824020</v>
      </c>
      <c r="F12" s="25" t="n">
        <v>0.302365</v>
      </c>
      <c r="G12" s="2" t="str">
        <f aca="false">A12&amp;"-"&amp;B12</f>
        <v>C03-1</v>
      </c>
    </row>
    <row r="13" customFormat="false" ht="15" hidden="false" customHeight="false" outlineLevel="0" collapsed="false">
      <c r="A13" s="2" t="s">
        <v>70</v>
      </c>
      <c r="B13" s="2" t="n">
        <v>2</v>
      </c>
      <c r="C13" s="2" t="s">
        <v>93</v>
      </c>
      <c r="D13" s="2" t="s">
        <v>28</v>
      </c>
      <c r="E13" s="24" t="n">
        <v>52096365</v>
      </c>
      <c r="F13" s="25" t="n">
        <v>0.190188</v>
      </c>
      <c r="G13" s="2" t="str">
        <f aca="false">A13&amp;"-"&amp;B13</f>
        <v>C03-2</v>
      </c>
    </row>
    <row r="14" customFormat="false" ht="15" hidden="false" customHeight="false" outlineLevel="0" collapsed="false">
      <c r="A14" s="2" t="s">
        <v>70</v>
      </c>
      <c r="B14" s="2" t="n">
        <v>3</v>
      </c>
      <c r="C14" s="2" t="s">
        <v>102</v>
      </c>
      <c r="D14" s="2" t="s">
        <v>28</v>
      </c>
      <c r="E14" s="24" t="n">
        <v>49452440</v>
      </c>
      <c r="F14" s="25" t="n">
        <v>0.180536</v>
      </c>
      <c r="G14" s="2" t="str">
        <f aca="false">A14&amp;"-"&amp;B14</f>
        <v>C03-3</v>
      </c>
    </row>
    <row r="15" customFormat="false" ht="15" hidden="false" customHeight="false" outlineLevel="0" collapsed="false">
      <c r="A15" s="2" t="s">
        <v>70</v>
      </c>
      <c r="B15" s="2" t="n">
        <v>4</v>
      </c>
      <c r="C15" s="2" t="s">
        <v>95</v>
      </c>
      <c r="D15" s="2" t="s">
        <v>28</v>
      </c>
      <c r="E15" s="24" t="n">
        <v>27849660</v>
      </c>
      <c r="F15" s="25" t="n">
        <v>0.101671</v>
      </c>
      <c r="G15" s="2" t="str">
        <f aca="false">A15&amp;"-"&amp;B15</f>
        <v>C03-4</v>
      </c>
    </row>
    <row r="16" customFormat="false" ht="15" hidden="false" customHeight="false" outlineLevel="0" collapsed="false">
      <c r="A16" s="2" t="s">
        <v>70</v>
      </c>
      <c r="B16" s="2" t="n">
        <v>5</v>
      </c>
      <c r="C16" s="2" t="s">
        <v>103</v>
      </c>
      <c r="D16" s="2" t="s">
        <v>29</v>
      </c>
      <c r="E16" s="24" t="n">
        <v>22366537</v>
      </c>
      <c r="F16" s="25" t="n">
        <v>0.081653</v>
      </c>
      <c r="G16" s="2" t="str">
        <f aca="false">A16&amp;"-"&amp;B16</f>
        <v>C03-5</v>
      </c>
    </row>
    <row r="17" customFormat="false" ht="15" hidden="false" customHeight="false" outlineLevel="0" collapsed="false">
      <c r="A17" s="2" t="s">
        <v>75</v>
      </c>
      <c r="B17" s="2" t="n">
        <v>1</v>
      </c>
      <c r="C17" s="2" t="s">
        <v>104</v>
      </c>
      <c r="D17" s="2" t="s">
        <v>28</v>
      </c>
      <c r="E17" s="24" t="n">
        <v>87967620</v>
      </c>
      <c r="F17" s="25" t="n">
        <v>0.400427</v>
      </c>
      <c r="G17" s="2" t="str">
        <f aca="false">A17&amp;"-"&amp;B17</f>
        <v>C04-1</v>
      </c>
    </row>
    <row r="18" customFormat="false" ht="15" hidden="false" customHeight="false" outlineLevel="0" collapsed="false">
      <c r="A18" s="2" t="s">
        <v>75</v>
      </c>
      <c r="B18" s="2" t="n">
        <v>2</v>
      </c>
      <c r="C18" s="2" t="s">
        <v>105</v>
      </c>
      <c r="D18" s="2" t="s">
        <v>28</v>
      </c>
      <c r="E18" s="24" t="n">
        <v>27003480</v>
      </c>
      <c r="F18" s="25" t="n">
        <v>0.122919</v>
      </c>
      <c r="G18" s="2" t="str">
        <f aca="false">A18&amp;"-"&amp;B18</f>
        <v>C04-2</v>
      </c>
    </row>
    <row r="19" customFormat="false" ht="15" hidden="false" customHeight="false" outlineLevel="0" collapsed="false">
      <c r="A19" s="2" t="s">
        <v>75</v>
      </c>
      <c r="B19" s="2" t="n">
        <v>3</v>
      </c>
      <c r="C19" s="2" t="s">
        <v>99</v>
      </c>
      <c r="D19" s="2" t="s">
        <v>29</v>
      </c>
      <c r="E19" s="24" t="n">
        <v>26959944</v>
      </c>
      <c r="F19" s="25" t="n">
        <v>0.122721</v>
      </c>
      <c r="G19" s="2" t="str">
        <f aca="false">A19&amp;"-"&amp;B19</f>
        <v>C04-3</v>
      </c>
    </row>
    <row r="20" customFormat="false" ht="15" hidden="false" customHeight="false" outlineLevel="0" collapsed="false">
      <c r="A20" s="2" t="s">
        <v>75</v>
      </c>
      <c r="B20" s="2" t="n">
        <v>4</v>
      </c>
      <c r="C20" s="2" t="s">
        <v>96</v>
      </c>
      <c r="D20" s="2" t="s">
        <v>29</v>
      </c>
      <c r="E20" s="24" t="n">
        <v>19814850</v>
      </c>
      <c r="F20" s="25" t="n">
        <v>0.090197</v>
      </c>
      <c r="G20" s="2" t="str">
        <f aca="false">A20&amp;"-"&amp;B20</f>
        <v>C04-4</v>
      </c>
    </row>
    <row r="21" customFormat="false" ht="15" hidden="false" customHeight="false" outlineLevel="0" collapsed="false">
      <c r="A21" s="2" t="s">
        <v>75</v>
      </c>
      <c r="B21" s="2" t="n">
        <v>5</v>
      </c>
      <c r="C21" s="2" t="s">
        <v>106</v>
      </c>
      <c r="D21" s="2" t="s">
        <v>29</v>
      </c>
      <c r="E21" s="24" t="n">
        <v>18450126</v>
      </c>
      <c r="F21" s="25" t="n">
        <v>0.083985</v>
      </c>
      <c r="G21" s="2" t="str">
        <f aca="false">A21&amp;"-"&amp;B21</f>
        <v>C04-5</v>
      </c>
    </row>
    <row r="22" customFormat="false" ht="15" hidden="false" customHeight="false" outlineLevel="0" collapsed="false">
      <c r="A22" s="2" t="s">
        <v>80</v>
      </c>
      <c r="B22" s="2" t="n">
        <v>1</v>
      </c>
      <c r="C22" s="2" t="s">
        <v>102</v>
      </c>
      <c r="D22" s="2" t="s">
        <v>28</v>
      </c>
      <c r="E22" s="24" t="n">
        <v>82354265</v>
      </c>
      <c r="F22" s="25" t="n">
        <v>0.31287</v>
      </c>
      <c r="G22" s="2" t="str">
        <f aca="false">A22&amp;"-"&amp;B22</f>
        <v>C05-1</v>
      </c>
    </row>
    <row r="23" customFormat="false" ht="15" hidden="false" customHeight="false" outlineLevel="0" collapsed="false">
      <c r="A23" s="2" t="s">
        <v>80</v>
      </c>
      <c r="B23" s="2" t="n">
        <v>2</v>
      </c>
      <c r="C23" s="2" t="s">
        <v>107</v>
      </c>
      <c r="D23" s="2" t="s">
        <v>28</v>
      </c>
      <c r="E23" s="24" t="n">
        <v>40144380</v>
      </c>
      <c r="F23" s="25" t="n">
        <v>0.152511</v>
      </c>
      <c r="G23" s="2" t="str">
        <f aca="false">A23&amp;"-"&amp;B23</f>
        <v>C05-2</v>
      </c>
    </row>
    <row r="24" customFormat="false" ht="15" hidden="false" customHeight="false" outlineLevel="0" collapsed="false">
      <c r="A24" s="2" t="s">
        <v>80</v>
      </c>
      <c r="B24" s="2" t="n">
        <v>3</v>
      </c>
      <c r="C24" s="2" t="s">
        <v>92</v>
      </c>
      <c r="D24" s="2" t="s">
        <v>28</v>
      </c>
      <c r="E24" s="24" t="n">
        <v>37792095</v>
      </c>
      <c r="F24" s="25" t="n">
        <v>0.143575</v>
      </c>
      <c r="G24" s="2" t="str">
        <f aca="false">A24&amp;"-"&amp;B24</f>
        <v>C05-3</v>
      </c>
    </row>
    <row r="25" customFormat="false" ht="15" hidden="false" customHeight="false" outlineLevel="0" collapsed="false">
      <c r="A25" s="2" t="s">
        <v>80</v>
      </c>
      <c r="B25" s="2" t="n">
        <v>4</v>
      </c>
      <c r="C25" s="2" t="s">
        <v>101</v>
      </c>
      <c r="D25" s="2" t="s">
        <v>28</v>
      </c>
      <c r="E25" s="24" t="n">
        <v>25319260</v>
      </c>
      <c r="F25" s="25" t="n">
        <v>0.09619</v>
      </c>
      <c r="G25" s="2" t="str">
        <f aca="false">A25&amp;"-"&amp;B25</f>
        <v>C05-4</v>
      </c>
    </row>
    <row r="26" customFormat="false" ht="15" hidden="false" customHeight="false" outlineLevel="0" collapsed="false">
      <c r="A26" s="2" t="s">
        <v>80</v>
      </c>
      <c r="B26" s="2" t="n">
        <v>5</v>
      </c>
      <c r="C26" s="2" t="s">
        <v>94</v>
      </c>
      <c r="D26" s="2" t="s">
        <v>29</v>
      </c>
      <c r="E26" s="24" t="n">
        <v>22624994</v>
      </c>
      <c r="F26" s="25" t="n">
        <v>0.085954</v>
      </c>
      <c r="G26" s="2" t="str">
        <f aca="false">A26&amp;"-"&amp;B26</f>
        <v>C05-5</v>
      </c>
    </row>
    <row r="27" customFormat="false" ht="15" hidden="false" customHeight="false" outlineLevel="0" collapsed="false">
      <c r="A27" s="2" t="s">
        <v>83</v>
      </c>
      <c r="B27" s="2" t="n">
        <v>1</v>
      </c>
      <c r="C27" s="2" t="s">
        <v>92</v>
      </c>
      <c r="D27" s="2" t="s">
        <v>28</v>
      </c>
      <c r="E27" s="24" t="n">
        <v>64929150</v>
      </c>
      <c r="F27" s="25" t="n">
        <v>0.209165</v>
      </c>
      <c r="G27" s="2" t="str">
        <f aca="false">A27&amp;"-"&amp;B27</f>
        <v>C06-1</v>
      </c>
    </row>
    <row r="28" customFormat="false" ht="15" hidden="false" customHeight="false" outlineLevel="0" collapsed="false">
      <c r="A28" s="2" t="s">
        <v>83</v>
      </c>
      <c r="B28" s="2" t="n">
        <v>2</v>
      </c>
      <c r="C28" s="2" t="s">
        <v>102</v>
      </c>
      <c r="D28" s="2" t="s">
        <v>28</v>
      </c>
      <c r="E28" s="24" t="n">
        <v>46860175</v>
      </c>
      <c r="F28" s="25" t="n">
        <v>0.150957</v>
      </c>
      <c r="G28" s="2" t="str">
        <f aca="false">A28&amp;"-"&amp;B28</f>
        <v>C06-2</v>
      </c>
    </row>
    <row r="29" customFormat="false" ht="15" hidden="false" customHeight="false" outlineLevel="0" collapsed="false">
      <c r="A29" s="2" t="s">
        <v>83</v>
      </c>
      <c r="B29" s="2" t="n">
        <v>3</v>
      </c>
      <c r="C29" s="2" t="s">
        <v>98</v>
      </c>
      <c r="D29" s="2" t="s">
        <v>29</v>
      </c>
      <c r="E29" s="24" t="n">
        <v>36879732</v>
      </c>
      <c r="F29" s="25" t="n">
        <v>0.118806</v>
      </c>
      <c r="G29" s="2" t="str">
        <f aca="false">A29&amp;"-"&amp;B29</f>
        <v>C06-3</v>
      </c>
    </row>
    <row r="30" customFormat="false" ht="15" hidden="false" customHeight="false" outlineLevel="0" collapsed="false">
      <c r="A30" s="2" t="s">
        <v>83</v>
      </c>
      <c r="B30" s="2" t="n">
        <v>4</v>
      </c>
      <c r="C30" s="2" t="s">
        <v>103</v>
      </c>
      <c r="D30" s="2" t="s">
        <v>29</v>
      </c>
      <c r="E30" s="24" t="n">
        <v>34387319</v>
      </c>
      <c r="F30" s="25" t="n">
        <v>0.110776</v>
      </c>
      <c r="G30" s="2" t="str">
        <f aca="false">A30&amp;"-"&amp;B30</f>
        <v>C06-4</v>
      </c>
    </row>
    <row r="31" customFormat="false" ht="15" hidden="false" customHeight="false" outlineLevel="0" collapsed="false">
      <c r="A31" s="2" t="s">
        <v>83</v>
      </c>
      <c r="B31" s="2" t="n">
        <v>5</v>
      </c>
      <c r="C31" s="2" t="s">
        <v>101</v>
      </c>
      <c r="D31" s="2" t="s">
        <v>28</v>
      </c>
      <c r="E31" s="24" t="n">
        <v>22315280</v>
      </c>
      <c r="F31" s="25" t="n">
        <v>0.071887</v>
      </c>
      <c r="G31" s="2" t="str">
        <f aca="false">A31&amp;"-"&amp;B31</f>
        <v>C06-5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7" t="s">
        <v>47</v>
      </c>
      <c r="B1" s="7" t="s">
        <v>108</v>
      </c>
      <c r="C1" s="7" t="s">
        <v>109</v>
      </c>
      <c r="D1" s="7" t="s">
        <v>110</v>
      </c>
      <c r="E1" s="7" t="s">
        <v>111</v>
      </c>
    </row>
    <row r="2" customFormat="false" ht="15" hidden="false" customHeight="false" outlineLevel="0" collapsed="false">
      <c r="A2" s="2" t="s">
        <v>75</v>
      </c>
      <c r="B2" s="2" t="s">
        <v>112</v>
      </c>
      <c r="C2" s="2" t="s">
        <v>113</v>
      </c>
      <c r="D2" s="2" t="s">
        <v>114</v>
      </c>
      <c r="E2" s="2" t="s">
        <v>115</v>
      </c>
    </row>
    <row r="3" customFormat="false" ht="15" hidden="false" customHeight="false" outlineLevel="0" collapsed="false">
      <c r="A3" s="2" t="s">
        <v>80</v>
      </c>
      <c r="B3" s="2" t="s">
        <v>116</v>
      </c>
      <c r="C3" s="2" t="s">
        <v>113</v>
      </c>
      <c r="D3" s="2" t="s">
        <v>117</v>
      </c>
      <c r="E3" s="2" t="s">
        <v>118</v>
      </c>
    </row>
    <row r="4" customFormat="false" ht="15" hidden="false" customHeight="false" outlineLevel="0" collapsed="false">
      <c r="A4" s="2" t="s">
        <v>83</v>
      </c>
      <c r="B4" s="2" t="s">
        <v>119</v>
      </c>
      <c r="C4" s="2" t="s">
        <v>113</v>
      </c>
      <c r="D4" s="2" t="s">
        <v>120</v>
      </c>
      <c r="E4" s="2" t="s">
        <v>121</v>
      </c>
    </row>
    <row r="5" customFormat="false" ht="15" hidden="false" customHeight="false" outlineLevel="0" collapsed="false">
      <c r="A5" s="2" t="s">
        <v>45</v>
      </c>
      <c r="B5" s="2" t="s">
        <v>122</v>
      </c>
      <c r="C5" s="2" t="s">
        <v>123</v>
      </c>
      <c r="D5" s="2" t="s">
        <v>124</v>
      </c>
      <c r="E5" s="2" t="s">
        <v>125</v>
      </c>
    </row>
    <row r="6" customFormat="false" ht="15" hidden="false" customHeight="false" outlineLevel="0" collapsed="false">
      <c r="A6" s="2" t="s">
        <v>65</v>
      </c>
      <c r="B6" s="2" t="s">
        <v>126</v>
      </c>
      <c r="C6" s="2" t="s">
        <v>123</v>
      </c>
      <c r="D6" s="2" t="s">
        <v>127</v>
      </c>
      <c r="E6" s="2" t="s">
        <v>128</v>
      </c>
    </row>
    <row r="7" customFormat="false" ht="15" hidden="false" customHeight="false" outlineLevel="0" collapsed="false">
      <c r="A7" s="2" t="s">
        <v>70</v>
      </c>
      <c r="B7" s="2" t="s">
        <v>126</v>
      </c>
      <c r="C7" s="2" t="s">
        <v>123</v>
      </c>
      <c r="D7" s="2" t="s">
        <v>127</v>
      </c>
      <c r="E7" s="2" t="s">
        <v>128</v>
      </c>
    </row>
    <row r="8" customFormat="false" ht="15" hidden="false" customHeight="false" outlineLevel="0" collapsed="false">
      <c r="A8" s="2" t="s">
        <v>83</v>
      </c>
      <c r="B8" s="2" t="s">
        <v>126</v>
      </c>
      <c r="C8" s="2" t="s">
        <v>123</v>
      </c>
      <c r="D8" s="2" t="s">
        <v>127</v>
      </c>
      <c r="E8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2026-10-27T13:57:31Z</dcterms:created>
  <dc:creator>openpyxl</dc:creator>
  <dc:description/>
  <dc:language>en-US</dc:language>
  <cp:lastModifiedBy/>
  <dcterms:modified xsi:type="dcterms:W3CDTF">2026-10-27T13:57:32Z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